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firstSheet="1" activeTab="3"/>
  </bookViews>
  <sheets>
    <sheet name="1. Metadata &amp; Summary" sheetId="1" r:id="rId1"/>
    <sheet name="2. Detailed Audit Log (2)" sheetId="5"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<sst xmlns="http://schemas.openxmlformats.org/spreadsheetml/2006/main" count="263" uniqueCount="203">
  <si>
    <t>AI AUDIT LOG — METADATA &amp; SUMMARY</t>
  </si>
  <si>
    <t>STUDENT INFORMATION</t>
  </si>
  <si>
    <t>Student Name:</t>
  </si>
  <si>
    <t>Phạm Bửu Thịnh</t>
  </si>
  <si>
    <t>Student ID:</t>
  </si>
  <si>
    <t>QE200023</t>
  </si>
  <si>
    <t>Course:</t>
  </si>
  <si>
    <t xml:space="preserve"> LAB211</t>
  </si>
  <si>
    <t>Assignment:</t>
  </si>
  <si>
    <t>E-Commerce System — Flash Sale Platform (Shopee-like)</t>
  </si>
  <si>
    <t>AI USAGE SUMMARY</t>
  </si>
  <si>
    <t>Total Prompts Used (all AI tools):</t>
  </si>
  <si>
    <t>Core Prompts Logged:</t>
  </si>
  <si>
    <t>10</t>
  </si>
  <si>
    <t>Selection Ratio:</t>
  </si>
  <si>
    <t>Should be 10-20%</t>
  </si>
  <si>
    <t>Hallucination Detected:</t>
  </si>
  <si>
    <t>1</t>
  </si>
  <si>
    <t>AI TOOLS USED</t>
  </si>
  <si>
    <t>AI Tool</t>
  </si>
  <si>
    <t>Purpose</t>
  </si>
  <si>
    <t>Frequency</t>
  </si>
  <si>
    <t>Main Value</t>
  </si>
  <si>
    <t>Claude</t>
  </si>
  <si>
    <t>Use Case Design, Requirement Analysis, CRUD Review</t>
  </si>
  <si>
    <t>High</t>
  </si>
  <si>
    <t>Deep reflection + Design critique</t>
  </si>
  <si>
    <t>ChatGPT</t>
  </si>
  <si>
    <t>Drafting descriptions, cross-checking UML rules</t>
  </si>
  <si>
    <t>Medium</t>
  </si>
  <si>
    <t>Quick text generation</t>
  </si>
  <si>
    <t>GitHub Copilot</t>
  </si>
  <si>
    <t>HTML diagram auto-completion</t>
  </si>
  <si>
    <t>Speed up diagram coding</t>
  </si>
  <si>
    <t>[Add more...]</t>
  </si>
  <si>
    <t>CORE PROMPTS DISTRIBUTION BY DTC COMPONENT</t>
  </si>
  <si>
    <t>DTC Component</t>
  </si>
  <si>
    <t>Number of Prompts</t>
  </si>
  <si>
    <t>Required (Min)</t>
  </si>
  <si>
    <t>Status</t>
  </si>
  <si>
    <t>Decomposition</t>
  </si>
  <si>
    <t>≥ 1</t>
  </si>
  <si>
    <t>✅ PASS</t>
  </si>
  <si>
    <t>Pattern Recognition</t>
  </si>
  <si>
    <t>Abstraction</t>
  </si>
  <si>
    <t>Algorithms</t>
  </si>
  <si>
    <t>TOTAL CORE PROMPTS</t>
  </si>
  <si>
    <t>— Minimum 4 prompts across all components —</t>
  </si>
  <si>
    <t>DETAILED AI AUDIT LOG — E-Commerce System (Use Case Design)</t>
  </si>
  <si>
    <t>INSTRUCTIONS: Chỉ ghi CORE PROMPTS (Decision / Problem-Solving / Verification / Knowledge Building). Mỗi entry phải trả lời đầy đủ 4 phần trong Human Delta.</t>
  </si>
  <si>
    <t>Entry #</t>
  </si>
  <si>
    <t>Prompt Type</t>
  </si>
  <si>
    <t>Stage / Component</t>
  </si>
  <si>
    <t>Problem / Context</t>
  </si>
  <si>
    <t>Prompt to AI</t>
  </si>
  <si>
    <t>AI Response (Summary)</t>
  </si>
  <si>
    <t>Human Delta &amp; Reflection</t>
  </si>
  <si>
    <t>Evidence</t>
  </si>
  <si>
    <t>001</t>
  </si>
  <si>
    <t>DECISION</t>
  </si>
  <si>
    <t>Cần xác định số lượng Actor phù hợp cho hệ thống E-Commerce kiểu Shopee. Ban đầu chưa rõ nên có 2, 3 hay 4 actor.</t>
  </si>
  <si>
    <t>Tôi đang thiết kế Use Case Diagram cho hệ thống E-Commerce theo mô hình Shopee. Hệ thống có các nhóm người dùng: người bán (Seller), người mua (Customer), và quản trị viên (Admin). Ngoài ra còn có Shipper giao hàng. Tôi nên gộp Shipper vào Admin hay tách thành một actor riêng? Tiêu chí nào để quyết định số lượng actor phù hợp?</t>
  </si>
  <si>
    <t>AI gợi ý nên tách Shipper thành actor riêng nếu Shipper có tương tác trực tiếp với hệ thống (đăng nhập, cập nhật trạng thái đơn). Nếu Shipper chỉ được Admin quản lý và không có hành động chủ động, nên giữ trong phạm vi Admin. AI cũng giải thích tiêu chí actor: phải là thực thể độc lập, có tập hành vi riêng biệt, và trực tiếp tương tác với boundary hệ thống.</t>
  </si>
  <si>
    <t>Critical Thinking: AI đưa ra 2 trường hợp rõ ràng. Tôi phân tích: trong đồ án này, Shipper không đăng nhập hệ thống, không có use case chủ động — chỉ được Admin thêm/sửa/xoá. Vì vậy Shipper không đủ điều kiện là actor độc lập.
Contextualization: Với phạm vi đồ án LAB211, hệ thống chỉ dùng file CSV và Console — Shipper không cần giao diện riêng hay session riêng.
Creative Synthesis: Tôi giữ 3 actor: Seller, Customer, Admin. Shipper được Admin quản lý thông qua nhóm [O] Quản lý Shipper.
Decision: 3 actors — phù hợp với đặc tả và tránh over-engineering.</t>
  </si>
  <si>
    <t>So sánh sơ đồ 3-actor vs 4-actor; note lý do loại Shipper</t>
  </si>
  <si>
    <t>002</t>
  </si>
  <si>
    <t>Chưa biết nên áp dụng quan hệ &lt;&lt;include&gt;&gt; hay &lt;&lt;extend&gt;&gt; cho luồng Place Order → Check Stock / Check Tier Limit / Apply Discount Price.</t>
  </si>
  <si>
    <t>Trong Use Case Diagram của hệ thống E-Commerce, khi Customer thực hiện Place Order, hệ thống phải: (1) kiểm tra tồn kho (Check Stock), (2) kiểm tra giới hạn mua theo hạng khách hàng (Check Tier Limit), (3) áp dụng giá flash sale nếu có (Apply Discount Price). Tôi nên dùng &lt;&lt;include&gt;&gt; hay &lt;&lt;extend&gt;&gt; cho các use case này? Phân tích từng trường hợp.</t>
  </si>
  <si>
    <t>AI giải thích: &lt;&lt;include&gt;&gt; khi use case con LUÔN được gọi (bắt buộc). &lt;&lt;extend&gt;&gt; khi chỉ gọi trong điều kiện nhất định (tùy chọn). Check Stock và Check Tier Limit bắt buộc → &lt;&lt;include&gt;&gt;. Apply Discount Price chỉ khi có flash sale → có thể &lt;&lt;extend&gt;&gt;. AI lưu ý: thực tế nhiều dự án dùng &lt;&lt;include&gt;&gt; cho cả 3 để diagram đơn giản hơn.</t>
  </si>
  <si>
    <t>Critical Thinking: Phân tích lại từng use case: Check Stock — bắt buộc 100% → &lt;&lt;include&gt;&gt;. Check Tier Limit — bắt buộc (dù customer hạng thường cũng phải check) → &lt;&lt;include&gt;&gt;. Apply Discount Price — AI nói có thể dùng &lt;&lt;extend&gt;&gt;, nhưng tôi nhận ra: hệ thống LUÔN phải kiểm tra xem có flash sale không trước khi tính giá → thực chất là bắt buộc → &lt;&lt;include&gt;&gt;.
Contextualization: Đồ án yêu cầu CRUD compliant và rõ ràng cho giảng viên đánh giá — dùng &lt;&lt;include&gt;&gt; cho cả 3 giúp diagram nhất quán và dễ đọc hơn.
Creative Synthesis: Không áp dụng máy móc gợi ý của AI về &lt;&lt;extend&gt;&gt;. Tôi chuẩn hoá: Place Order &lt;&lt;include&gt;&gt; Check Stock, Check Tier Limit, Apply Discount Price.
Decision: Dùng &lt;&lt;include&gt;&gt; cho cả 3 — lý do: bắt buộc về mặt logic nghiệp vụ và nhất quán trong diagram.</t>
  </si>
  <si>
    <t>Use Case Diagram section 4.3 [I]; tài liệu UML 2.x spec về include/extend</t>
  </si>
  <si>
    <t>003</t>
  </si>
  <si>
    <t>VERIFICATION</t>
  </si>
  <si>
    <t>Cần kiểm tra sơ đồ Use Case có đúng nguyên tắc CRUD đầy đủ không — lo ngại một số nhóm bị thiếu thao tác Delete hoặc Create.</t>
  </si>
  <si>
    <t>Bạn là Giảng viên chấm đồ án LAB211 tại FPT University. Tôi gửi bảng CRUD matrix của hệ thống E-Commerce gồm 19 nhóm chức năng (Seller: [A]-[F], Customer: [G]-[K], Admin: [L]-[S]). Hãy kiểm tra: (1) Nhóm nào đang thiếu thao tác CRUD? (2) Một số thao tác tôi đang để "—" có hợp lý không hay cần thêm? (3) TOP 3 rủi ro bị trừ điểm liên quan đến CRUD compliance?</t>
  </si>
  <si>
    <t>AI kiểm tra và chỉ ra: [C] Quản lý Đơn Hàng của Seller thiếu Create (hợp lý vì Seller không tạo đơn). [E] Vận chuyển thiếu Create và Delete (AI gợi ý thêm). [F] Báo cáo thiếu Delete (AI hỏi có cần Export làm Create không). [H] Tìm kiếm chỉ có Read (bình thường). TOP 3 rủi ro: thiếu Delete ở nhóm báo cáo, gộp chức năng vào 1 use case, không có minh chứng cho quan hệ xuyên actor.</t>
  </si>
  <si>
    <t>Critical Thinking: Kiểm tra lại từng điểm AI nêu. [C] Seller không tạo đơn — đúng, "—" là hợp lý. [E] Vận chuyển: Set shipping method là Update (không phải Create mới). Delete zone không thuộc Seller — thuộc Admin [P]. Giữ nguyên "—". [F] Export report: đây là Read (đọc dữ liệu rồi xuất file), không phải Create — giữ "—".
Contextualization: Giảng viên LAB211 hiểu "—" là intentional gap khi chức năng không phù hợp logic nghiệp vụ, không phải lỗi thiếu.
Creative Synthesis: Không thêm use case chỉ để đủ ô CRUD — điều đó sẽ tạo use case giả tạo. Tôi giữ nguyên thiết kế và thêm chú thích lý do vào tài liệu.
Decision: CRUD matrix giữ nguyên với các "—" có lý do rõ ràng. Thêm mục 1.2 Nguyên tắc thiết kế vào tài liệu để giải thích.</t>
  </si>
  <si>
    <t>Bảng 7. CRUD Summary trong UseCase_ECommerce_System.docx</t>
  </si>
  <si>
    <t>004</t>
  </si>
  <si>
    <t>Cần kiểm tra HTML diagram (usecase_full.html) có render đúng tất cả 70+ use cases, cross-actor arrows, và include relationships không — lo ngại một số SVG path bị lệch hoặc bị cắt.</t>
  </si>
  <si>
    <t>Tôi vừa build xong file usecase_full.html chứa Use Case Diagram dạng SVG. Hệ thống có 3 actor areas (Seller, Customer, Admin), 19 nhóm chức năng, 70+ use cases, 3 &lt;&lt;include&gt;&gt; arrows từ Place Order, và 10 cross-actor relationships. Hãy review HTML/SVG code này theo tiêu chí: (1) Tất cả use case có xuất hiện đầy đủ không? (2) Cross-actor arrows có hiển thị đúng màu và đúng target không? (3) Include arrows có label &lt;&lt;include&gt;&gt; rõ ràng không? (4) viewBox có đủ lớn để chứa toàn bộ content không?</t>
  </si>
  <si>
    <t>AI review và phát hiện: viewBox="0 0 1780 1600" có thể bị cắt phần Admin area bên phải nếu browser zoom. Một số cross-actor path dùng tọa độ tuyệt đối có thể lệch khi resize. Include arrows thiếu label text &lt;&lt;include&gt;&gt; trên một số path. AI gợi ý tăng viewBox width lên 2000, dùng responsive width="100%" và thêm text labels cho tất cả dashed arrows.</t>
  </si>
  <si>
    <t>Critical Thinking: Test thực tế trong browser ở 3 zoom levels (75%, 100%, 125%). Kết quả: viewBox 1780×1600 đủ cho zoom 100% nhưng bị cắt ở 125%. Cross-actor arrows: 8/10 đúng vị trí, 2 arrows bị lệch điểm đích nhẹ.
Contextualization: File HTML được dùng để demo và submit — phải render đúng ở 100% zoom. Không cần responsive vì diagram dạng tĩnh.
Creative Synthesis: Không tăng viewBox mà thêm overflow:auto vào container CSS — giải pháp gọn hơn. Fix 2 arrow paths và bổ sung &lt;&lt;include&gt;&gt; label text còn thiếu.
Decision: Giữ viewBox 1780×1600, thêm overflow scroll, fix arrow positions — phương án tối ưu cho use case submit.</t>
  </si>
  <si>
    <t>Screenshot browser test 75%/100%/125%; diff file trước và sau fix</t>
  </si>
  <si>
    <t>005</t>
  </si>
  <si>
    <t>KNOWLEDGE BUILDING</t>
  </si>
  <si>
    <t>Khi thiết kế nhóm [N] Flash Sale của Admin, chưa rõ sự khác biệt giữa Pause flash sale và End flash sale về mặt business logic — lo ngại overlap chức năng.</t>
  </si>
  <si>
    <t>Trong hệ thống E-Commerce như Shopee, Admin có thể Pause một flash sale đang chạy và End flash sale sớm. Hai chức năng này khác nhau như thế nào về business logic và trạng thái? Trong Use Case Diagram có cần tách thành 2 use case riêng không, hay có thể gộp thành "Modify flash sale status"?</t>
  </si>
  <si>
    <t>AI giải thích: Pause là trạng thái tạm dừng — flash sale vẫn còn hiệu lực, có thể Resume lại (ví dụ: phát hiện lỗi giá, tạm dừng để fix). End là kết thúc vĩnh viễn — flash sale không thể khôi phục. Về state machine: Active → Paused → Active (resume); Active → Ended (terminal state). AI gợi ý tách thành 2 use case riêng vì hành động và hậu quả khác nhau.</t>
  </si>
  <si>
    <t>Critical Thinking: State machine của AI hoàn toàn hợp lý. Tôi verify thêm: trên Shopee thực tế, Admin có "Dừng chương trình" (Pause, có thể chạy lại) và "Kết thúc chương trình" (End, đóng vĩnh viễn). Đây là 2 hành động có hậu quả khác nhau → cần 2 use case.
Contextualization: Trong đồ án, tôi đã có sẵn cả 2 trong nhóm [N]. Việc hỏi AI giúp tôi viết mô tả chính xác hơn trong phần speciation.
Creative Synthesis: Dùng giải thích state machine của AI để viết phần mô tả use case trong docx — thêm ghi chú "Pause: tạm dừng có thể Resume; End: terminal state".
Decision: Giữ 2 use case tách biệt — không gộp. Bổ sung ghi chú state vào tài liệu đặc tả.</t>
  </si>
  <si>
    <t>Section 5.3 [N] trong UseCase_ECommerce_System.docx; Shopee Admin panel screenshot</t>
  </si>
  <si>
    <t>006</t>
  </si>
  <si>
    <t>Nhóm [G] Tài khoản Customer có use case "Manage address" — cần quyết định có nên tách thành Add address / Edit address / Delete address (3 use cases riêng) hay giữ gộp.</t>
  </si>
  <si>
    <t>Trong Use Case Diagram, nguyên tắc "không gộp chức năng" nghĩa là mỗi CRUD operation phải là use case riêng. Tuy nhiên với "Manage address" của Customer (thêm/sửa/xóa địa chỉ giao hàng), nếu tách ra thành 3 use case riêng, diagram sẽ rất nhiều ellipse. Tôi nên tách hay gộp? Tiêu chí nào để quyết định?</t>
  </si>
  <si>
    <t>AI gợi ý: Nếu mỗi thao tác có flow khác nhau (add cần form nhập mới, edit cần load data cũ, delete cần confirm) thì nên tách. Nếu cùng navigate vào 1 màn hình "Address Book" rồi mới thao tác thì có thể gộp thành "Manage address" với note CRUD. AI ưu tiên tách để compliance với nguyên tắc CRUD, nhưng chấp nhận gộp nếu document rõ ràng.</t>
  </si>
  <si>
    <t>Critical Thinking: Đồ án yêu cầu "CRUD compliant, không gộp chức năng" — tôi đọc lại rubric và thấy đây là yêu cầu cứng. Tuy nhiên địa chỉ là sub-entity của tài khoản, không phải entity độc lập trong scope đồ án này.
Contextualization: Với 70+ use case đã có, diagram đang ở ngưỡng tối đa về khả năng đọc. Tách address thành 3 use cases sẽ đẩy lên 73+ và diagram Customer area sẽ quá chật.
Creative Synthesis: Giải pháp trung gian: giữ "Manage address" nhưng trong tài liệu docx ghi rõ sub-operations (Add / Edit / Delete address) và đây là hành động CRUD trên Address entity.
Decision: Giữ "Manage address" trong diagram, document sub-CRUD trong file đặc tả — cân bằng giữa readability và compliance.</t>
  </si>
  <si>
    <t>Section 4.1 [G] trong docx; screenshot Customer area trước và sau khi tách</t>
  </si>
  <si>
    <t>007</t>
  </si>
  <si>
    <t>Admin area cần nhóm [S] Báo cáo &amp; Cấu hình hệ thống. Chưa rõ "Run simulator report" có phải use case phù hợp hay nên tách "Run simulation" và "View simulation report" thành 2 use case.</t>
  </si>
  <si>
    <t>Trong Use Case Diagram của hệ thống E-Commerce, Admin có chức năng chạy mô phỏng flash sale và xem báo cáo kết quả. "Run simulator report" hiện gộp 2 hành động: (1) trigger chạy simulation, (2) xem kết quả báo cáo. Theo nguyên tắc UML, có nên tách thành "Run simulation" &lt;&lt;include&gt;&gt; "View simulation report" không?</t>
  </si>
  <si>
    <t>AI gợi ý tách: "Run simulation" là action (trigger process), "View report" là read (xem kết quả) — 2 intent khác nhau. Nếu Admin có thể xem lại report từ simulation cũ mà không cần run lại, thì đây là 2 use case độc lập. Nếu report chỉ tồn tại ngay sau khi run, có thể dùng &lt;&lt;include&gt;&gt;.</t>
  </si>
  <si>
    <t>Critical Thinking: Trong scope đồ án, simulation chạy real-time và kết quả hiển thị ngay — không có history. Admin không thể "xem lại simulation cũ". Vì vậy 2 actions luôn xảy ra cùng nhau.
Contextualization: Admin area đã có 8 nhóm, rất nhiều use case. Tách thêm sẽ làm diagram quá dense.
Creative Synthesis: Giữ gộp "Run simulator report" vì trong context đồ án, 2 actions không tách rời được. Ghi chú trong docx: "Combines: trigger simulation + view result (inseparable in current scope)".
Decision: Giữ "Run simulator report" như một use case — phù hợp với scope và không vi phạm UML khi 2 actions luôn đi kèm nhau.</t>
  </si>
  <si>
    <t>Section 5.8 [S] trong docx; note về run-and-view pattern</t>
  </si>
  <si>
    <t>008</t>
  </si>
  <si>
    <t>Phần Người 3 phụ trách Repository + Concurrency khá rộng, cần chia nhỏ để biết file nào phải làm trước.</t>
  </si>
  <si>
    <t>Tôi là thành viên số 3 trong project E-Commerce Flash Sale. Hãy phân rã nhiệm vụ Repository + Concurrency thành các module Java cụ thể, ưu tiên FlashSaleItemRepository, sellWithOptimisticLock, file locking và các repository còn lại.</t>
  </si>
  <si>
    <t>AI chia nhiệm vụ thành CsvRepository nền, các repository cụ thể, FlashSaleItemRepository, các cơ chế lock, và test nhiều thread.</t>
  </si>
  <si>
    <t>Critical Thinking: Tôi không nhận toàn bộ như checklist máy móc mà chọn phần ảnh hưởng trực tiếp tới invariant soldQty &lt;= limitedQty.
Contextualization: Project dùng CSV như database nên repository phải chịu trách nhiệm đọc/ghi file.
Creative Synthesis: Tôi biến yêu cầu tổng quát thành thứ tự làm: base CRUD trước, flash sale concurrency sau.
Verification: Đối chiếu với use case Place order include Check stock.</t>
  </si>
  <si>
    <t>UseCase_ECommerce_System.docx; src/repository/CsvRepository.java; src/repository/FlashSaleItemRepository.java</t>
  </si>
  <si>
    <t>009</t>
  </si>
  <si>
    <t>PROBLEM-SOLVING</t>
  </si>
  <si>
    <t>Các repository Product, Order, Customer, FlashSaleEvent có CRUD giống nhau, nếu viết lặp sẽ dài và dễ lỗi.</t>
  </si>
  <si>
    <t>Thiết kế giúp tôi một CsvRepository&lt;T extends BaseEntity&gt; cho Java console app, lưu dữ liệu bằng CSV, có save, saveAll, findAll, findById, findBy predicate, update, deleteById và rewriteAll. Các entity có toCsvLine, fromCsvLine, getCsvHeader.</t>
  </si>
  <si>
    <t>AI đề xuất generic repository dùng BaseEntity và Supplier&lt;T&gt; để parse từng dòng CSV, các repository con chỉ cần truyền factory.</t>
  </si>
  <si>
    <t>Critical Thinking: Tôi giữ generic repository vì hợp với nhiều entity, nhưng vẫn để repository con chứa query nghiệp vụ riêng.
Contextualization: Đề yêu cầu CRUD đầy đủ cho nhiều bảng CSV.
Creative Synthesis: Dùng BaseEntity để gom logic ID/header/CSV.
Verification: Test bằng RepositoryTest với ProductRepository.</t>
  </si>
  <si>
    <t>src/repository/CsvRepository.java; src/repository/ProductRepository.java; src/test/RepositoryTest.java</t>
  </si>
  <si>
    <t>010</t>
  </si>
  <si>
    <t>Cần triển khai ProductRepository, OrderRepository và các repository còn lại nhưng không muốn copy-paste CRUD.</t>
  </si>
  <si>
    <t>Dựa trên CsvRepository&lt;T&gt;, hãy viết các repository cụ thể cho Product, Order, Customer, FlashSaleEvent, OrderDetail và OrderTransaction. Mỗi repository kế thừa CRUD và thêm các hàm query đúng nghiệp vụ E-Commerce Flash Sale.</t>
  </si>
  <si>
    <t>AI gợi ý query theo category, price range, customerId, eventId, status, flashItemId và thống kê transaction.</t>
  </si>
  <si>
    <t>Critical Thinking: Tôi chỉ giữ các query thật sự cần cho use case, tránh thêm chức năng ngoài scope.
Contextualization: Product dùng category/stock; Order dùng customer/event/status; OrderDetail dùng order/flash item.
Creative Synthesis: Repository con trở thành API nghiệp vụ sạch hơn cho controller/simulator.
Verification: Đối chiếu với use case quản lý sản phẩm, đơn hàng, flash sale.</t>
  </si>
  <si>
    <t>src/repository/ProductRepository.java; src/repository/OrderRepository.java; src/repository/OrderDetailRepository.java</t>
  </si>
  <si>
    <t>011</t>
  </si>
  <si>
    <t>FlashSaleItemRepository là phần dễ sai nhất vì nhiều khách có thể mua cùng sản phẩm cùng lúc.</t>
  </si>
  <si>
    <t>Trong hệ thống flash sale dùng CSV, hãy phân tích race condition khi nhiều thread cùng cập nhật soldQty của FlashSaleItem. Invariant cần giữ là soldQty &lt;= limitedQty. Repository nên đặt logic trừ kho ở đâu?</t>
  </si>
  <si>
    <t>AI giải thích race condition đọc-cùng-giá-trị rồi ghi đè, và khuyên đặt logic bán hàng trong repository thay vì controller/view.</t>
  </si>
  <si>
    <t>Critical Thinking: Tôi đồng ý đặt logic ở repository vì đây là nơi trực tiếp kiểm soát file CSV.
Contextualization: Use case Place order bắt buộc Check stock trước khi đặt hàng.
Creative Synthesis: Tôi tạo các method sellNoLock, sellWithSynchronized, sellWithFileLock, sellWithOptimisticLock để vừa chạy vừa so sánh.
Verification: Kiểm tra field limitedQty, soldQty, version trong FlashSaleItem.</t>
  </si>
  <si>
    <t>src/model/FlashSaleItem.java; src/repository/FlashSaleItemRepository.java</t>
  </si>
  <si>
    <t>012</t>
  </si>
  <si>
    <t>KNOWLEDGE BUILDING / DESIGN DECISION</t>
  </si>
  <si>
    <t>Tôi cần hiểu sự khác nhau giữa NO_LOCK, SYNCHRONIZED, FILE_LOCK và OPTIMISTIC để giải thích khi thuyết trình.</t>
  </si>
  <si>
    <t>Giải thích 4 cơ chế đồng bộ NO_LOCK, SYNCHRONIZED, FILE_LOCK và OPTIMISTIC_LOCKING trong bài Java CSV flash sale. So sánh ưu/nhược điểm, rủi ro race condition và khi nào dùng.</t>
  </si>
  <si>
    <t>AI mô tả NO_LOCK nhanh nhưng không an toàn, SYNCHRONIZED an toàn trong JVM, FILE_LOCK khóa file ở cấp OS, OPTIMISTIC dùng version và retry.</t>
  </si>
  <si>
    <t>Critical Thinking: Tôi không xem 4 cơ chế là 4 use case riêng, mà là lựa chọn kỹ thuật trong repository/simulator.
Contextualization: CSV file là tài nguyên dùng chung nên cần đồng bộ.
Creative Synthesis: Tôi dùng bảng so sánh này để thiết kế method bán hàng.
Verification: Đối chiếu với Java FileChannel/FileLock và synchronized method.</t>
  </si>
  <si>
    <t>src/repository/FlashSaleItemRepository.java; oral viva notes</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</si>
  <si>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</si>
  <si>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</si>
  <si>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</si>
  <si>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</si>
  <si>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</si>
  <si>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</si>
  <si>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</si>
  <si>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</si>
  <si>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  Hiện phát hiện được 1/3 hallucination yêu cầu — cần thêm ít nhất 2 cases nữa trước khi nộp!</t>
  </si>
  <si>
    <t>Fabrication</t>
  </si>
  <si>
    <t>UML 2.5 specification có quy định cụ thể: "hệ thống Shopee-like phải dùng &lt;&lt;extend&gt;&gt; cho Apply Discount Price vì đây là optional behavior"</t>
  </si>
  <si>
    <t>Tìm kiếm trong OMG UML 2.5 formal spec (formal/2017-12-05) — KHÔNG có đoạn nào đề cập e-commerce hay discount price. Claim hoàn toàn bịa đặt.</t>
  </si>
  <si>
    <t>Tra cứu trực tiếp OMG UML 2.5 spec PDF; Google Scholar search "UML extend discount price"</t>
  </si>
  <si>
    <t>Bỏ qua claim này. Giữ quyết định dùng &lt;&lt;include&gt;&gt; dựa trên logic nghiệp vụ (Entry #002). Ghi nhận: không tin "theo spec X" từ AI nếu không verify.</t>
  </si>
  <si>
    <t>[Thêm]</t>
  </si>
  <si>
    <t>HALLUCINATION TYPES REFERENCE</t>
  </si>
  <si>
    <t>Type</t>
  </si>
  <si>
    <t>Definition</t>
  </si>
  <si>
    <t>Example</t>
  </si>
  <si>
    <t>AI tạo ra thông tin không tồn tại</t>
  </si>
  <si>
    <t>Fake papers, fake API specs, fake UML rules</t>
  </si>
  <si>
    <t>Oversimplification</t>
  </si>
  <si>
    <t>AI bỏ qua edge cases, exceptions</t>
  </si>
  <si>
    <t>Code không handle empty list, không check null</t>
  </si>
  <si>
    <t>Logic Error</t>
  </si>
  <si>
    <t>AI đưa kết luận sai về "best practice"</t>
  </si>
  <si>
    <t>"Always use &lt;&lt;extend&gt;&gt; for discount" → Sai</t>
  </si>
  <si>
    <t>Outdated Info</t>
  </si>
  <si>
    <t>AI dùng thông tin cũ, không còn đúng</t>
  </si>
  <si>
    <t>Old UML syntax, deprecated patterns</t>
  </si>
  <si>
    <t>Context Misunderstanding</t>
  </si>
  <si>
    <t>AI không hiểu đúng bối cảnh</t>
  </si>
  <si>
    <t>Không biết scope đồ án,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</si>
  <si>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</si>
  <si>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</si>
  <si>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</si>
  <si>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</si>
  <si>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</si>
  <si>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</si>
  <si>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</si>
  <si>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</si>
  <si>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</si>
  <si>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</si>
  <si>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</si>
  <si>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</si>
  <si>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</si>
  <si>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</si>
  <si>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(screenshot, docx section, code diff)?</t>
  </si>
  <si>
    <t>5</t>
  </si>
  <si>
    <t>Prompt này phản ánh tư duy phản biện, không chỉ copy AI?</t>
  </si>
  <si>
    <t>B. KIỂM TRA TỔNG THỂ LOG</t>
  </si>
  <si>
    <t>Current Value</t>
  </si>
  <si>
    <t>Số lượng entries nằm trong range (10 entries)?</t>
  </si>
  <si>
    <t>10 / 10 ✅</t>
  </si>
  <si>
    <t>Mỗi DTC component có ít nhất 1 core prompt?</t>
  </si>
  <si>
    <t>Decomposition: 4, Pattern: 2, Abstraction: 2, Algorithms: 2 ✅</t>
  </si>
  <si>
    <t>Đã phát hiện ≥ số lượng hallucination yêu cầu?</t>
  </si>
  <si>
    <t>1/3 ⚠️  Cần thêm 2 cases</t>
  </si>
  <si>
    <t>Mỗi entry đều có Human Delta đầy đủ (4 phần)?</t>
  </si>
  <si>
    <t>Kiểm tra lại: Critical / Contextual / Creative / Decision</t>
  </si>
  <si>
    <t>Có evidence cho ≥70% entries?</t>
  </si>
  <si>
    <t>8/10 entries có evidence = 80% ✅</t>
  </si>
  <si>
    <t>⚠️  LƯU Ý QUAN TRỌNG:
• Nếu entry KHÔNG pass ≥4/5 tiêu chí → LOẠI BỎ, không ghi vào Log
• 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</si>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</sst>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
  </numFmts>
  <fonts count="44">
    <font>
      <sz val="11"/>
      <color theme="1"/>
      <name val="Calibri"/>
      <charset val="1"/>
    </font>
    <font>
      <b/>
      <sz val="14"/>
      <color rgb="FFFFFFFF"/>
      <name val="Arial"/>
      <charset val="1"/>
    </font>
    <font>
      <i/>
      <sz val="10"/>
      <color rgb="FF1A1A2E"/>
      <name val="Arial"/>
      <charset val="1"/>
    </font>
    <font>
      <b/>
      <sz val="11"/>
      <color rgb="FFFFFFFF"/>
      <name val="Arial"/>
      <charset val="1"/>
    </font>
    <font>
      <b/>
      <sz val="10"/>
      <color rgb="FFFFFFFF"/>
      <name val="Arial"/>
      <charset val="1"/>
    </font>
    <font>
      <b/>
      <sz val="10"/>
      <color rgb="FF000000"/>
      <name val="Arial"/>
      <charset val="1"/>
    </font>
    <font>
      <sz val="10"/>
      <color rgb="FF000000"/>
      <name val="Arial"/>
      <charset val="1"/>
    </font>
    <font>
      <b/>
      <sz val="14"/>
      <color rgb="FF000000"/>
      <name val="Arial"/>
      <charset val="1"/>
    </font>
    <font>
      <b/>
      <sz val="10"/>
      <color rgb="FF1B5E20"/>
      <name val="Arial"/>
      <charset val="1"/>
    </font>
    <font>
      <b/>
      <sz val="10"/>
      <color rgb="FFC62828"/>
      <name val="Arial"/>
      <charset val="1"/>
    </font>
    <font>
      <i/>
      <sz val="10"/>
      <color rgb="FF455A64"/>
      <name val="Arial"/>
      <charset val="1"/>
    </font>
    <font>
      <b/>
      <sz val="10"/>
      <color rgb="FF1A1A2E"/>
      <name val="Arial"/>
      <charset val="1"/>
    </font>
    <font>
      <sz val="11"/>
      <color theme="1"/>
      <name val="Calibri"/>
      <charset val="134"/>
    </font>
    <font>
      <sz val="11"/>
      <color theme="1"/>
      <name val="Calibri"/>
      <charset val="1"/>
    </font>
    <font>
      <i/>
      <sz val="10"/>
      <color rgb="FFC62828"/>
      <name val="Arial"/>
      <charset val="1"/>
    </font>
    <font>
      <sz val="10"/>
      <color rgb="FF1A1A2E"/>
      <name val="Arial"/>
      <charset val="1"/>
    </font>
    <font>
      <b/>
      <sz val="10"/>
      <color theme="0"/>
      <name val="Arial"/>
      <charset val="1"/>
    </font>
    <font>
      <b/>
      <sz val="16"/>
      <color rgb="FFFFFFFF"/>
      <name val="Arial"/>
      <charset val="1"/>
    </font>
    <font>
      <b/>
      <sz val="11"/>
      <color rgb="FF1A1A2E"/>
      <name val="Arial"/>
      <charset val="1"/>
    </font>
    <font>
      <sz val="11"/>
      <color rgb="FF1A1A2E"/>
      <name val="Arial"/>
      <charset val="1"/>
    </font>
    <font>
      <b/>
      <i/>
      <sz val="10"/>
      <color rgb="FFC62828"/>
      <name val="Arial"/>
      <charset val="1"/>
    </font>
    <font>
      <b/>
      <sz val="10"/>
      <color rgb="FF0F3460"/>
      <name val="Arial"/>
      <charset val="1"/>
    </font>
    <font>
      <i/>
      <sz val="10"/>
      <color rgb="FFBBBBBB"/>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1A1A2E"/>
        <bgColor rgb="FF16213E"/>
      </patternFill>
    </fill>
    <fill>
      <patternFill patternType="solid">
        <fgColor rgb="FFFFF9C4"/>
        <bgColor rgb="FFF5F5F5"/>
      </patternFill>
    </fill>
    <fill>
      <patternFill patternType="solid">
        <fgColor rgb="FF0F3460"/>
        <bgColor rgb="FF16213E"/>
      </patternFill>
    </fill>
    <fill>
      <patternFill patternType="solid">
        <fgColor rgb="FF16213E"/>
        <bgColor rgb="FF1A1A2E"/>
      </patternFill>
    </fill>
    <fill>
      <patternFill patternType="solid">
        <fgColor rgb="FFF5F5F5"/>
        <bgColor rgb="FFE8F5E9"/>
      </patternFill>
    </fill>
    <fill>
      <patternFill patternType="solid">
        <fgColor rgb="FFFFFFFF"/>
        <bgColor rgb="FFF5F5F5"/>
      </patternFill>
    </fill>
    <fill>
      <patternFill patternType="solid">
        <fgColor rgb="FFE8F5E9"/>
        <bgColor rgb="FFE3F2FD"/>
      </patternFill>
    </fill>
    <fill>
      <patternFill patternType="solid">
        <fgColor rgb="FFFFEBEE"/>
        <bgColor rgb="FFF5F5F5"/>
      </patternFill>
    </fill>
    <fill>
      <patternFill patternType="solid">
        <fgColor rgb="FFE3F2FD"/>
        <bgColor rgb="FFE8F5E9"/>
      </patternFill>
    </fill>
    <fill>
      <patternFill patternType="solid">
        <fgColor rgb="FF1D9E75"/>
        <bgColor rgb="FF008080"/>
      </patternFill>
    </fill>
    <fill>
      <patternFill patternType="solid">
        <fgColor rgb="FFE24B4A"/>
        <bgColor rgb="FFC6282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medium">
        <color rgb="FF999999"/>
      </left>
      <right style="medium">
        <color rgb="FF999999"/>
      </right>
      <top style="medium">
        <color rgb="FF999999"/>
      </top>
      <bottom style="medium">
        <color rgb="FF999999"/>
      </bottom>
      <diagonal/>
    </border>
    <border>
      <left style="thin">
        <color rgb="FFCCCCCC"/>
      </left>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3" fillId="0" borderId="0" applyBorder="0" applyAlignment="0" applyProtection="0"/>
    <xf numFmtId="44" fontId="23" fillId="0" borderId="0" applyBorder="0" applyAlignment="0" applyProtection="0"/>
    <xf numFmtId="9" fontId="23" fillId="0" borderId="0" applyBorder="0" applyAlignment="0" applyProtection="0"/>
    <xf numFmtId="41" fontId="23" fillId="0" borderId="0" applyBorder="0" applyAlignment="0" applyProtection="0"/>
    <xf numFmtId="42" fontId="23" fillId="0" borderId="0" applyBorder="0" applyAlignment="0" applyProtection="0"/>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13" borderId="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6" applyNumberFormat="0" applyFill="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2" fillId="0" borderId="0" applyNumberFormat="0" applyFill="0" applyBorder="0" applyAlignment="0" applyProtection="0">
      <alignment vertical="center"/>
    </xf>
    <xf numFmtId="0" fontId="33" fillId="14" borderId="8" applyNumberFormat="0" applyAlignment="0" applyProtection="0">
      <alignment vertical="center"/>
    </xf>
    <xf numFmtId="0" fontId="34" fillId="15" borderId="9" applyNumberFormat="0" applyAlignment="0" applyProtection="0">
      <alignment vertical="center"/>
    </xf>
    <xf numFmtId="0" fontId="35" fillId="15" borderId="8" applyNumberFormat="0" applyAlignment="0" applyProtection="0">
      <alignment vertical="center"/>
    </xf>
    <xf numFmtId="0" fontId="36" fillId="16" borderId="10" applyNumberFormat="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3" fillId="41" borderId="0" applyNumberFormat="0" applyBorder="0" applyAlignment="0" applyProtection="0">
      <alignment vertical="center"/>
    </xf>
    <xf numFmtId="0" fontId="43" fillId="42" borderId="0" applyNumberFormat="0" applyBorder="0" applyAlignment="0" applyProtection="0">
      <alignment vertical="center"/>
    </xf>
    <xf numFmtId="0" fontId="42" fillId="43" borderId="0" applyNumberFormat="0" applyBorder="0" applyAlignment="0" applyProtection="0">
      <alignment vertical="center"/>
    </xf>
  </cellStyleXfs>
  <cellXfs count="56">
    <xf numFmtId="0" fontId="0" fillId="0" borderId="0" xfId="0"/>
    <xf numFmtId="0" fontId="0" fillId="0" borderId="0" xfId="0" applyAlignment="1"/>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xf>
    <xf numFmtId="0" fontId="3" fillId="4" borderId="0" xfId="0" applyFont="1" applyFill="1" applyBorder="1" applyAlignment="1">
      <alignment horizontal="left" vertical="center"/>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0" fillId="6" borderId="1" xfId="0" applyFill="1" applyBorder="1" applyAlignment="1">
      <alignment horizontal="left" vertical="center" wrapText="1"/>
    </xf>
    <xf numFmtId="0" fontId="5" fillId="7" borderId="1" xfId="0" applyFont="1" applyFill="1" applyBorder="1" applyAlignment="1">
      <alignment horizontal="center" vertical="center"/>
    </xf>
    <xf numFmtId="0" fontId="6"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8" fillId="8"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9" fillId="9" borderId="0" xfId="0" applyFont="1" applyFill="1" applyBorder="1" applyAlignment="1">
      <alignment horizontal="left" vertical="center" wrapText="1"/>
    </xf>
    <xf numFmtId="0" fontId="10" fillId="10" borderId="0" xfId="0" applyFont="1" applyFill="1" applyBorder="1" applyAlignment="1">
      <alignment horizontal="left" vertical="center"/>
    </xf>
    <xf numFmtId="0" fontId="4" fillId="5"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0" fillId="7" borderId="1" xfId="0" applyFill="1" applyBorder="1" applyAlignment="1"/>
    <xf numFmtId="0" fontId="11" fillId="6" borderId="1" xfId="0" applyFont="1" applyFill="1" applyBorder="1" applyAlignment="1">
      <alignment horizontal="center" vertical="center"/>
    </xf>
    <xf numFmtId="0" fontId="0" fillId="6" borderId="1" xfId="0" applyFill="1" applyBorder="1" applyAlignment="1"/>
    <xf numFmtId="0" fontId="9" fillId="3" borderId="0" xfId="0" applyFont="1" applyFill="1" applyBorder="1" applyAlignment="1">
      <alignment horizontal="center" vertical="center"/>
    </xf>
    <xf numFmtId="0" fontId="4" fillId="5" borderId="2" xfId="0" applyFont="1" applyFill="1" applyBorder="1" applyAlignment="1">
      <alignment horizontal="center" vertical="center" wrapText="1"/>
    </xf>
    <xf numFmtId="0" fontId="9" fillId="9" borderId="0" xfId="0" applyFont="1" applyFill="1" applyBorder="1" applyAlignment="1">
      <alignment horizontal="center" vertical="center"/>
    </xf>
    <xf numFmtId="0" fontId="6" fillId="9" borderId="1" xfId="0" applyFont="1" applyFill="1" applyBorder="1" applyAlignment="1">
      <alignment horizontal="left" vertical="center" wrapText="1"/>
    </xf>
    <xf numFmtId="0" fontId="3" fillId="4" borderId="0" xfId="0" applyFont="1" applyFill="1" applyBorder="1" applyAlignment="1">
      <alignment horizontal="center" vertical="center"/>
    </xf>
    <xf numFmtId="0" fontId="9" fillId="9" borderId="1" xfId="0" applyFont="1" applyFill="1" applyBorder="1" applyAlignment="1">
      <alignment horizontal="left" vertical="center"/>
    </xf>
    <xf numFmtId="0" fontId="10" fillId="6" borderId="3" xfId="0" applyFont="1" applyFill="1" applyBorder="1" applyAlignment="1">
      <alignment horizontal="left" vertical="center" wrapText="1"/>
    </xf>
    <xf numFmtId="0" fontId="12" fillId="0" borderId="0" xfId="0" applyFont="1" applyFill="1" applyAlignment="1"/>
    <xf numFmtId="0" fontId="13" fillId="0" borderId="0" xfId="0" applyFont="1" applyFill="1" applyAlignment="1"/>
    <xf numFmtId="0" fontId="14" fillId="3" borderId="0" xfId="0" applyFont="1" applyFill="1" applyBorder="1" applyAlignment="1">
      <alignment horizontal="left" vertical="center" wrapText="1"/>
    </xf>
    <xf numFmtId="0" fontId="4" fillId="5"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5" fillId="6"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6" fillId="5" borderId="1" xfId="0" applyFont="1" applyFill="1" applyBorder="1" applyAlignment="1">
      <alignment horizontal="left" vertical="top" wrapText="1"/>
    </xf>
    <xf numFmtId="0" fontId="12" fillId="0" borderId="4" xfId="0" applyNumberFormat="1" applyFont="1" applyFill="1" applyBorder="1" applyAlignment="1">
      <alignment horizontal="left" vertical="top" wrapText="1"/>
    </xf>
    <xf numFmtId="0" fontId="17" fillId="2" borderId="0" xfId="0" applyFont="1" applyFill="1" applyBorder="1" applyAlignment="1">
      <alignment horizontal="center" vertical="center"/>
    </xf>
    <xf numFmtId="0" fontId="18" fillId="6" borderId="1" xfId="0" applyFont="1" applyFill="1" applyBorder="1" applyAlignment="1">
      <alignment horizontal="left" vertical="center"/>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0" fillId="0" borderId="0" xfId="0" applyBorder="1" applyAlignment="1"/>
    <xf numFmtId="176" fontId="19" fillId="0" borderId="3" xfId="0" applyNumberFormat="1" applyFont="1" applyBorder="1" applyAlignment="1">
      <alignment horizontal="center" vertical="center"/>
    </xf>
    <xf numFmtId="0" fontId="20" fillId="0" borderId="0" xfId="0" applyFont="1" applyBorder="1" applyAlignment="1">
      <alignment horizontal="center" vertical="center"/>
    </xf>
    <xf numFmtId="0" fontId="15" fillId="6"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6" fillId="6" borderId="1" xfId="0" applyFont="1" applyFill="1" applyBorder="1" applyAlignment="1">
      <alignment horizontal="left" vertical="center"/>
    </xf>
    <xf numFmtId="0" fontId="21" fillId="8" borderId="1" xfId="0" applyFont="1" applyFill="1" applyBorder="1" applyAlignment="1">
      <alignment horizontal="center" vertical="center"/>
    </xf>
    <xf numFmtId="0" fontId="6" fillId="7" borderId="1" xfId="0" applyFont="1" applyFill="1" applyBorder="1" applyAlignment="1">
      <alignment horizontal="center" vertical="center"/>
    </xf>
    <xf numFmtId="0" fontId="8" fillId="8" borderId="3" xfId="0" applyFont="1" applyFill="1" applyBorder="1" applyAlignment="1">
      <alignment horizontal="center" vertical="center"/>
    </xf>
    <xf numFmtId="0" fontId="3" fillId="5" borderId="1" xfId="0" applyFont="1" applyFill="1" applyBorder="1" applyAlignment="1">
      <alignment horizontal="center" vertical="center"/>
    </xf>
    <xf numFmtId="0" fontId="22" fillId="5" borderId="0" xfId="0" applyFont="1" applyFill="1" applyBorder="1" applyAlignment="1">
      <alignment horizontal="center" vertical="center"/>
    </xf>
    <xf numFmtId="0" fontId="16" fillId="5" borderId="1" xfId="0" applyFont="1" applyFill="1" applyBorder="1" applyAlignment="1" quotePrefix="1">
      <alignment horizontal="left" vertical="top" wrapText="1"/>
    </xf>
    <xf numFmtId="0" fontId="12" fillId="0" borderId="4" xfId="0" applyNumberFormat="1" applyFont="1" applyFill="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1B5E20"/>
      <rgbColor rgb="00000080"/>
      <rgbColor rgb="00808000"/>
      <rgbColor rgb="00800080"/>
      <rgbColor rgb="00008080"/>
      <rgbColor rgb="00BBBBBB"/>
      <rgbColor rgb="00808080"/>
      <rgbColor rgb="009999FF"/>
      <rgbColor rgb="00993366"/>
      <rgbColor rgb="00FFF9C4"/>
      <rgbColor rgb="00E3F2FD"/>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E8F5E9"/>
      <rgbColor rgb="00F5F5F5"/>
      <rgbColor rgb="00FFEBEE"/>
      <rgbColor rgb="0099CCFF"/>
      <rgbColor rgb="00FF99CC"/>
      <rgbColor rgb="00CC99FF"/>
      <rgbColor rgb="00FFCC99"/>
      <rgbColor rgb="003366FF"/>
      <rgbColor rgb="0033CCCC"/>
      <rgbColor rgb="0099CC00"/>
      <rgbColor rgb="00FFCC00"/>
      <rgbColor rgb="00FF9900"/>
      <rgbColor rgb="00E24B4A"/>
      <rgbColor rgb="00455A64"/>
      <rgbColor rgb="00999999"/>
      <rgbColor rgb="000F3460"/>
      <rgbColor rgb="001D9E75"/>
      <rgbColor rgb="00003300"/>
      <rgbColor rgb="001A1A2E"/>
      <rgbColor rgb="00C62828"/>
      <rgbColor rgb="00993366"/>
      <rgbColor rgb="00333399"/>
      <rgbColor rgb="0016213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showGridLines="0" workbookViewId="0">
      <pane ySplit="3" topLeftCell="A6" activePane="bottomLeft" state="frozen"/>
      <selection/>
      <selection pane="bottomLeft" activeCell="B6" sqref="B6:F6"/>
    </sheetView>
  </sheetViews>
  <sheetFormatPr defaultColWidth="8.67592592592593" defaultRowHeight="14.4" outlineLevelCol="5"/>
  <cols>
    <col min="1" max="1" width="28" style="1" customWidth="1"/>
    <col min="2" max="6" width="22" style="1" customWidth="1"/>
  </cols>
  <sheetData>
    <row r="1" ht="31.5" customHeight="1" spans="1:6">
      <c r="A1" s="41" t="s">
        <v>0</v>
      </c>
      <c r="B1" s="41"/>
      <c r="C1" s="41"/>
      <c r="D1" s="41"/>
      <c r="E1" s="41"/>
      <c r="F1" s="41"/>
    </row>
    <row r="2" ht="9.75" customHeight="1" spans="1:6">
      <c r="A2" s="41"/>
      <c r="B2" s="41"/>
      <c r="C2" s="41"/>
      <c r="D2" s="41"/>
      <c r="E2" s="41"/>
      <c r="F2" s="41"/>
    </row>
    <row r="3" ht="21.75" customHeight="1" spans="1:6">
      <c r="A3" s="27" t="s">
        <v>1</v>
      </c>
      <c r="B3" s="27"/>
      <c r="C3" s="27"/>
      <c r="D3" s="27"/>
      <c r="E3" s="27"/>
      <c r="F3" s="27"/>
    </row>
    <row r="4" ht="18" customHeight="1" spans="1:6">
      <c r="A4" s="42" t="s">
        <v>2</v>
      </c>
      <c r="B4" s="43" t="s">
        <v>3</v>
      </c>
      <c r="C4" s="43"/>
      <c r="D4" s="43"/>
      <c r="E4" s="43"/>
      <c r="F4" s="43"/>
    </row>
    <row r="5" ht="18" customHeight="1" spans="1:6">
      <c r="A5" s="42" t="s">
        <v>4</v>
      </c>
      <c r="B5" s="43" t="s">
        <v>5</v>
      </c>
      <c r="C5" s="43"/>
      <c r="D5" s="43"/>
      <c r="E5" s="43"/>
      <c r="F5" s="43"/>
    </row>
    <row r="6" ht="18" customHeight="1" spans="1:6">
      <c r="A6" s="42" t="s">
        <v>6</v>
      </c>
      <c r="B6" s="43" t="s">
        <v>7</v>
      </c>
      <c r="C6" s="43"/>
      <c r="D6" s="43"/>
      <c r="E6" s="43"/>
      <c r="F6" s="43"/>
    </row>
    <row r="7" ht="18" customHeight="1" spans="1:6">
      <c r="A7" s="42" t="s">
        <v>8</v>
      </c>
      <c r="B7" s="43" t="s">
        <v>9</v>
      </c>
      <c r="C7" s="43"/>
      <c r="D7" s="43"/>
      <c r="E7" s="43"/>
      <c r="F7" s="43"/>
    </row>
    <row r="8" ht="21.75" customHeight="1" spans="1:6">
      <c r="A8" s="27" t="s">
        <v>10</v>
      </c>
      <c r="B8" s="27"/>
      <c r="C8" s="27"/>
      <c r="D8" s="27"/>
      <c r="E8" s="27"/>
      <c r="F8" s="27"/>
    </row>
    <row r="9" ht="18" customHeight="1" spans="1:6">
      <c r="A9" s="42" t="s">
        <v>11</v>
      </c>
      <c r="B9" s="44">
        <v>80</v>
      </c>
      <c r="C9" s="44"/>
      <c r="D9" s="44"/>
      <c r="E9" s="45"/>
      <c r="F9" s="45"/>
    </row>
    <row r="10" ht="18" customHeight="1" spans="1:6">
      <c r="A10" s="42" t="s">
        <v>12</v>
      </c>
      <c r="B10" s="44" t="s">
        <v>13</v>
      </c>
      <c r="C10" s="44"/>
      <c r="D10" s="44"/>
      <c r="E10" s="45"/>
      <c r="F10" s="45"/>
    </row>
    <row r="11" ht="18" customHeight="1" spans="1:6">
      <c r="A11" s="42" t="s">
        <v>14</v>
      </c>
      <c r="B11" s="46">
        <f>B10/B9</f>
        <v>0.125</v>
      </c>
      <c r="C11" s="46"/>
      <c r="D11" s="46"/>
      <c r="E11" s="47" t="s">
        <v>15</v>
      </c>
      <c r="F11" s="47"/>
    </row>
    <row r="12" ht="18" customHeight="1" spans="1:6">
      <c r="A12" s="42" t="s">
        <v>16</v>
      </c>
      <c r="B12" s="44" t="s">
        <v>17</v>
      </c>
      <c r="C12" s="44"/>
      <c r="D12" s="44"/>
      <c r="E12" s="45"/>
      <c r="F12" s="45"/>
    </row>
    <row r="13" ht="21.75" customHeight="1" spans="1:6">
      <c r="A13" s="27" t="s">
        <v>18</v>
      </c>
      <c r="B13" s="27"/>
      <c r="C13" s="27"/>
      <c r="D13" s="27"/>
      <c r="E13" s="27"/>
      <c r="F13" s="27"/>
    </row>
    <row r="14" ht="18" customHeight="1" spans="1:6">
      <c r="A14" s="5" t="s">
        <v>19</v>
      </c>
      <c r="B14" s="5" t="s">
        <v>20</v>
      </c>
      <c r="C14" s="5" t="s">
        <v>21</v>
      </c>
      <c r="D14" s="5" t="s">
        <v>22</v>
      </c>
      <c r="E14" s="5"/>
      <c r="F14" s="5"/>
    </row>
    <row r="15" ht="18" customHeight="1" spans="1:6">
      <c r="A15" s="48" t="s">
        <v>23</v>
      </c>
      <c r="B15" s="48" t="s">
        <v>24</v>
      </c>
      <c r="C15" s="48" t="s">
        <v>25</v>
      </c>
      <c r="D15" s="48" t="s">
        <v>26</v>
      </c>
      <c r="E15" s="48"/>
      <c r="F15" s="48"/>
    </row>
    <row r="16" ht="18" customHeight="1" spans="1:6">
      <c r="A16" s="49" t="s">
        <v>27</v>
      </c>
      <c r="B16" s="49" t="s">
        <v>28</v>
      </c>
      <c r="C16" s="49" t="s">
        <v>29</v>
      </c>
      <c r="D16" s="49" t="s">
        <v>30</v>
      </c>
      <c r="E16" s="49"/>
      <c r="F16" s="49"/>
    </row>
    <row r="17" ht="18" customHeight="1" spans="1:6">
      <c r="A17" s="48" t="s">
        <v>31</v>
      </c>
      <c r="B17" s="48" t="s">
        <v>32</v>
      </c>
      <c r="C17" s="48" t="s">
        <v>29</v>
      </c>
      <c r="D17" s="48" t="s">
        <v>33</v>
      </c>
      <c r="E17" s="48"/>
      <c r="F17" s="48"/>
    </row>
    <row r="18" ht="18" customHeight="1" spans="1:6">
      <c r="A18" s="49" t="s">
        <v>34</v>
      </c>
      <c r="B18" s="49"/>
      <c r="C18" s="49"/>
      <c r="D18" s="49"/>
      <c r="E18" s="49"/>
      <c r="F18" s="49"/>
    </row>
    <row r="20" ht="21.75" customHeight="1" spans="1:6">
      <c r="A20" s="27" t="s">
        <v>35</v>
      </c>
      <c r="B20" s="27"/>
      <c r="C20" s="27"/>
      <c r="D20" s="27"/>
      <c r="E20" s="27"/>
      <c r="F20" s="27"/>
    </row>
    <row r="21" ht="18" customHeight="1" spans="1:6">
      <c r="A21" s="5" t="s">
        <v>36</v>
      </c>
      <c r="B21" s="5" t="s">
        <v>37</v>
      </c>
      <c r="C21" s="5" t="s">
        <v>38</v>
      </c>
      <c r="D21" s="5" t="s">
        <v>39</v>
      </c>
      <c r="E21" s="5"/>
      <c r="F21" s="5"/>
    </row>
    <row r="22" ht="18" customHeight="1" spans="1:6">
      <c r="A22" s="50" t="s">
        <v>40</v>
      </c>
      <c r="B22" s="51">
        <v>4</v>
      </c>
      <c r="C22" s="52" t="s">
        <v>41</v>
      </c>
      <c r="D22" s="53" t="s">
        <v>42</v>
      </c>
      <c r="E22" s="53"/>
      <c r="F22" s="53"/>
    </row>
    <row r="23" ht="18" customHeight="1" spans="1:6">
      <c r="A23" s="50" t="s">
        <v>43</v>
      </c>
      <c r="B23" s="51">
        <v>2</v>
      </c>
      <c r="C23" s="52" t="s">
        <v>41</v>
      </c>
      <c r="D23" s="53" t="s">
        <v>42</v>
      </c>
      <c r="E23" s="53"/>
      <c r="F23" s="53"/>
    </row>
    <row r="24" ht="18" customHeight="1" spans="1:6">
      <c r="A24" s="50" t="s">
        <v>44</v>
      </c>
      <c r="B24" s="51">
        <v>2</v>
      </c>
      <c r="C24" s="52" t="s">
        <v>41</v>
      </c>
      <c r="D24" s="53" t="s">
        <v>42</v>
      </c>
      <c r="E24" s="53"/>
      <c r="F24" s="53"/>
    </row>
    <row r="25" ht="18" customHeight="1" spans="1:6">
      <c r="A25" s="50" t="s">
        <v>45</v>
      </c>
      <c r="B25" s="51">
        <v>2</v>
      </c>
      <c r="C25" s="52" t="s">
        <v>41</v>
      </c>
      <c r="D25" s="53" t="s">
        <v>42</v>
      </c>
      <c r="E25" s="53"/>
      <c r="F25" s="53"/>
    </row>
    <row r="26" ht="19.5" customHeight="1" spans="1:6">
      <c r="A26" s="5" t="s">
        <v>46</v>
      </c>
      <c r="B26" s="54">
        <f>SUM(B22:B25)</f>
        <v>10</v>
      </c>
      <c r="C26" s="55" t="s">
        <v>47</v>
      </c>
      <c r="D26" s="55"/>
      <c r="E26" s="55"/>
      <c r="F26" s="55"/>
    </row>
  </sheetData>
  <mergeCells count="26">
    <mergeCell ref="A3:F3"/>
    <mergeCell ref="B4:F4"/>
    <mergeCell ref="B5:F5"/>
    <mergeCell ref="B6:F6"/>
    <mergeCell ref="B7:F7"/>
    <mergeCell ref="A8:F8"/>
    <mergeCell ref="B9:D9"/>
    <mergeCell ref="E9:F9"/>
    <mergeCell ref="B10:D10"/>
    <mergeCell ref="E10:F10"/>
    <mergeCell ref="B11:D11"/>
    <mergeCell ref="E11:F11"/>
    <mergeCell ref="B12:D12"/>
    <mergeCell ref="E12:F12"/>
    <mergeCell ref="A13:F13"/>
    <mergeCell ref="D15:F15"/>
    <mergeCell ref="D16:F16"/>
    <mergeCell ref="D17:F17"/>
    <mergeCell ref="D18:F18"/>
    <mergeCell ref="A20:F20"/>
    <mergeCell ref="D22:F22"/>
    <mergeCell ref="D23:F23"/>
    <mergeCell ref="D24:F24"/>
    <mergeCell ref="D25:F25"/>
    <mergeCell ref="C26:F26"/>
    <mergeCell ref="A1:F2"/>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showGridLines="0" workbookViewId="0">
      <pane ySplit="3" topLeftCell="A11" activePane="bottomLeft" state="frozen"/>
      <selection/>
      <selection pane="bottomLeft" activeCell="D20" sqref="D20"/>
    </sheetView>
  </sheetViews>
  <sheetFormatPr defaultColWidth="8.67592592592593" defaultRowHeight="14.4" outlineLevelCol="7"/>
  <cols>
    <col min="1" max="1" width="8" style="31" customWidth="1"/>
    <col min="2" max="2" width="22" style="31" customWidth="1"/>
    <col min="3" max="3" width="26" style="31" customWidth="1"/>
    <col min="4" max="4" width="38" style="31" customWidth="1"/>
    <col min="5" max="5" width="60" style="31" customWidth="1"/>
    <col min="6" max="6" width="55" style="31" customWidth="1"/>
    <col min="7" max="7" width="70" style="31" customWidth="1"/>
    <col min="8" max="8" width="30" style="31" customWidth="1"/>
    <col min="9" max="16384" width="8.67592592592593" style="31"/>
  </cols>
  <sheetData>
    <row r="1" ht="30" customHeight="1" spans="1:8">
      <c r="A1" s="2" t="s">
        <v>48</v>
      </c>
      <c r="B1" s="2"/>
      <c r="C1" s="2"/>
      <c r="D1" s="2"/>
      <c r="E1" s="2"/>
      <c r="F1" s="2"/>
      <c r="G1" s="2"/>
      <c r="H1" s="2"/>
    </row>
    <row r="2" ht="21.75" customHeight="1" spans="1:8">
      <c r="A2" s="32" t="s">
        <v>49</v>
      </c>
      <c r="B2" s="32"/>
      <c r="C2" s="32"/>
      <c r="D2" s="32"/>
      <c r="E2" s="32"/>
      <c r="F2" s="32"/>
      <c r="G2" s="32"/>
      <c r="H2" s="32"/>
    </row>
    <row r="3" ht="27.75" customHeight="1" spans="1:8">
      <c r="A3" s="24" t="s">
        <v>50</v>
      </c>
      <c r="B3" s="24" t="s">
        <v>51</v>
      </c>
      <c r="C3" s="24" t="s">
        <v>52</v>
      </c>
      <c r="D3" s="24" t="s">
        <v>53</v>
      </c>
      <c r="E3" s="24" t="s">
        <v>54</v>
      </c>
      <c r="F3" s="24" t="s">
        <v>55</v>
      </c>
      <c r="G3" s="24" t="s">
        <v>56</v>
      </c>
      <c r="H3" s="24" t="s">
        <v>57</v>
      </c>
    </row>
    <row r="4" ht="109.5" customHeight="1" spans="1:8">
      <c r="A4" s="33" t="s">
        <v>58</v>
      </c>
      <c r="B4" s="34" t="s">
        <v>59</v>
      </c>
      <c r="C4" s="35" t="s">
        <v>40</v>
      </c>
      <c r="D4" s="35" t="s">
        <v>60</v>
      </c>
      <c r="E4" s="35" t="s">
        <v>61</v>
      </c>
      <c r="F4" s="35" t="s">
        <v>62</v>
      </c>
      <c r="G4" s="35" t="s">
        <v>63</v>
      </c>
      <c r="H4" s="35" t="s">
        <v>64</v>
      </c>
    </row>
    <row r="5" ht="109.5" customHeight="1" spans="1:8">
      <c r="A5" s="33" t="s">
        <v>65</v>
      </c>
      <c r="B5" s="34" t="s">
        <v>59</v>
      </c>
      <c r="C5" s="36" t="s">
        <v>43</v>
      </c>
      <c r="D5" s="36" t="s">
        <v>66</v>
      </c>
      <c r="E5" s="36" t="s">
        <v>67</v>
      </c>
      <c r="F5" s="36" t="s">
        <v>68</v>
      </c>
      <c r="G5" s="36" t="s">
        <v>69</v>
      </c>
      <c r="H5" s="36" t="s">
        <v>70</v>
      </c>
    </row>
    <row r="6" ht="109.5" customHeight="1" spans="1:8">
      <c r="A6" s="33" t="s">
        <v>71</v>
      </c>
      <c r="B6" s="37" t="s">
        <v>72</v>
      </c>
      <c r="C6" s="35" t="s">
        <v>44</v>
      </c>
      <c r="D6" s="35" t="s">
        <v>73</v>
      </c>
      <c r="E6" s="35" t="s">
        <v>74</v>
      </c>
      <c r="F6" s="35" t="s">
        <v>75</v>
      </c>
      <c r="G6" s="35" t="s">
        <v>76</v>
      </c>
      <c r="H6" s="35" t="s">
        <v>77</v>
      </c>
    </row>
    <row r="7" ht="109.5" customHeight="1" spans="1:8">
      <c r="A7" s="33" t="s">
        <v>78</v>
      </c>
      <c r="B7" s="37" t="s">
        <v>72</v>
      </c>
      <c r="C7" s="36" t="s">
        <v>44</v>
      </c>
      <c r="D7" s="36" t="s">
        <v>79</v>
      </c>
      <c r="E7" s="36" t="s">
        <v>80</v>
      </c>
      <c r="F7" s="36" t="s">
        <v>81</v>
      </c>
      <c r="G7" s="36" t="s">
        <v>82</v>
      </c>
      <c r="H7" s="36" t="s">
        <v>83</v>
      </c>
    </row>
    <row r="8" ht="109.5" customHeight="1" spans="1:8">
      <c r="A8" s="33" t="s">
        <v>84</v>
      </c>
      <c r="B8" s="38" t="s">
        <v>85</v>
      </c>
      <c r="C8" s="35" t="s">
        <v>43</v>
      </c>
      <c r="D8" s="35" t="s">
        <v>86</v>
      </c>
      <c r="E8" s="35" t="s">
        <v>87</v>
      </c>
      <c r="F8" s="35" t="s">
        <v>88</v>
      </c>
      <c r="G8" s="35" t="s">
        <v>89</v>
      </c>
      <c r="H8" s="35" t="s">
        <v>90</v>
      </c>
    </row>
    <row r="9" ht="109.5" customHeight="1" spans="1:8">
      <c r="A9" s="33" t="s">
        <v>91</v>
      </c>
      <c r="B9" s="34" t="s">
        <v>59</v>
      </c>
      <c r="C9" s="36" t="s">
        <v>40</v>
      </c>
      <c r="D9" s="36" t="s">
        <v>92</v>
      </c>
      <c r="E9" s="36" t="s">
        <v>93</v>
      </c>
      <c r="F9" s="36" t="s">
        <v>94</v>
      </c>
      <c r="G9" s="36" t="s">
        <v>95</v>
      </c>
      <c r="H9" s="36" t="s">
        <v>96</v>
      </c>
    </row>
    <row r="10" ht="109.5" customHeight="1" spans="1:8">
      <c r="A10" s="56" t="s">
        <v>97</v>
      </c>
      <c r="B10" s="34" t="s">
        <v>59</v>
      </c>
      <c r="C10" s="35" t="s">
        <v>40</v>
      </c>
      <c r="D10" s="35" t="s">
        <v>98</v>
      </c>
      <c r="E10" s="35" t="s">
        <v>99</v>
      </c>
      <c r="F10" s="35" t="s">
        <v>100</v>
      </c>
      <c r="G10" s="35" t="s">
        <v>101</v>
      </c>
      <c r="H10" s="35" t="s">
        <v>102</v>
      </c>
    </row>
    <row r="11" s="30" customFormat="1" ht="100" customHeight="1" spans="1:8">
      <c r="A11" s="57" t="s">
        <v>103</v>
      </c>
      <c r="B11" s="40" t="s">
        <v>59</v>
      </c>
      <c r="C11" s="40" t="s">
        <v>40</v>
      </c>
      <c r="D11" s="40" t="s">
        <v>104</v>
      </c>
      <c r="E11" s="40" t="s">
        <v>105</v>
      </c>
      <c r="F11" s="40" t="s">
        <v>106</v>
      </c>
      <c r="G11" s="40" t="s">
        <v>107</v>
      </c>
      <c r="H11" s="40" t="s">
        <v>108</v>
      </c>
    </row>
    <row r="12" s="30" customFormat="1" ht="100" customHeight="1" spans="1:8">
      <c r="A12" s="57" t="s">
        <v>109</v>
      </c>
      <c r="B12" s="40" t="s">
        <v>110</v>
      </c>
      <c r="C12" s="40" t="s">
        <v>44</v>
      </c>
      <c r="D12" s="40" t="s">
        <v>111</v>
      </c>
      <c r="E12" s="40" t="s">
        <v>112</v>
      </c>
      <c r="F12" s="40" t="s">
        <v>113</v>
      </c>
      <c r="G12" s="40" t="s">
        <v>114</v>
      </c>
      <c r="H12" s="40" t="s">
        <v>115</v>
      </c>
    </row>
    <row r="13" s="30" customFormat="1" ht="100" customHeight="1" spans="1:8">
      <c r="A13" s="57" t="s">
        <v>116</v>
      </c>
      <c r="B13" s="40" t="s">
        <v>110</v>
      </c>
      <c r="C13" s="40" t="s">
        <v>43</v>
      </c>
      <c r="D13" s="40" t="s">
        <v>117</v>
      </c>
      <c r="E13" s="40" t="s">
        <v>118</v>
      </c>
      <c r="F13" s="40" t="s">
        <v>119</v>
      </c>
      <c r="G13" s="40" t="s">
        <v>120</v>
      </c>
      <c r="H13" s="40" t="s">
        <v>121</v>
      </c>
    </row>
    <row r="14" s="30" customFormat="1" ht="80" customHeight="1" spans="1:8">
      <c r="A14" s="57" t="s">
        <v>122</v>
      </c>
      <c r="B14" s="40" t="s">
        <v>59</v>
      </c>
      <c r="C14" s="40" t="s">
        <v>45</v>
      </c>
      <c r="D14" s="40" t="s">
        <v>123</v>
      </c>
      <c r="E14" s="40" t="s">
        <v>124</v>
      </c>
      <c r="F14" s="40" t="s">
        <v>125</v>
      </c>
      <c r="G14" s="40" t="s">
        <v>126</v>
      </c>
      <c r="H14" s="40" t="s">
        <v>127</v>
      </c>
    </row>
    <row r="15" s="30" customFormat="1" ht="80" customHeight="1" spans="1:8">
      <c r="A15" s="57" t="s">
        <v>128</v>
      </c>
      <c r="B15" s="40" t="s">
        <v>129</v>
      </c>
      <c r="C15" s="40" t="s">
        <v>43</v>
      </c>
      <c r="D15" s="40" t="s">
        <v>130</v>
      </c>
      <c r="E15" s="40" t="s">
        <v>131</v>
      </c>
      <c r="F15" s="40" t="s">
        <v>132</v>
      </c>
      <c r="G15" s="40" t="s">
        <v>133</v>
      </c>
      <c r="H15" s="40" t="s">
        <v>134</v>
      </c>
    </row>
  </sheetData>
  <mergeCells count="2">
    <mergeCell ref="A1:H1"/>
    <mergeCell ref="A2:H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showGridLines="0" workbookViewId="0">
      <pane ySplit="3" topLeftCell="A5" activePane="bottomLeft" state="frozen"/>
      <selection/>
      <selection pane="bottomLeft" activeCell="A1" sqref="A1:F1"/>
    </sheetView>
  </sheetViews>
  <sheetFormatPr defaultColWidth="8.67592592592593" defaultRowHeight="14.4" outlineLevelCol="5"/>
  <cols>
    <col min="1" max="1" width="10" style="1" customWidth="1"/>
    <col min="2" max="2" width="22" style="1" customWidth="1"/>
    <col min="3" max="4" width="50" style="1" customWidth="1"/>
    <col min="5" max="5" width="40" style="1" customWidth="1"/>
    <col min="6" max="6" width="50" style="1" customWidth="1"/>
  </cols>
  <sheetData>
    <row r="1" ht="30" customHeight="1" spans="1:6">
      <c r="A1" s="2" t="s">
        <v>135</v>
      </c>
      <c r="B1" s="2"/>
      <c r="C1" s="2"/>
      <c r="D1" s="2"/>
      <c r="E1" s="2"/>
      <c r="F1" s="2"/>
    </row>
    <row r="2" ht="18" customHeight="1" spans="1:6">
      <c r="A2" s="23" t="s">
        <v>136</v>
      </c>
      <c r="B2" s="23"/>
      <c r="C2" s="23"/>
      <c r="D2" s="23"/>
      <c r="E2" s="23"/>
      <c r="F2" s="23"/>
    </row>
    <row r="3" ht="36" customHeight="1" spans="1:6">
      <c r="A3" s="24" t="s">
        <v>137</v>
      </c>
      <c r="B3" s="24" t="s">
        <v>138</v>
      </c>
      <c r="C3" s="24" t="s">
        <v>139</v>
      </c>
      <c r="D3" s="24" t="s">
        <v>140</v>
      </c>
      <c r="E3" s="24" t="s">
        <v>141</v>
      </c>
      <c r="F3" s="24" t="s">
        <v>142</v>
      </c>
    </row>
    <row r="4" ht="18" customHeight="1" spans="1:6">
      <c r="A4" s="25" t="s">
        <v>143</v>
      </c>
      <c r="B4" s="25"/>
      <c r="C4" s="25"/>
      <c r="D4" s="25"/>
      <c r="E4" s="25"/>
      <c r="F4" s="25"/>
    </row>
    <row r="5" ht="79.5" customHeight="1" spans="1:6">
      <c r="A5" s="26" t="s">
        <v>103</v>
      </c>
      <c r="B5" s="26" t="s">
        <v>144</v>
      </c>
      <c r="C5" s="26" t="s">
        <v>145</v>
      </c>
      <c r="D5" s="26" t="s">
        <v>146</v>
      </c>
      <c r="E5" s="26" t="s">
        <v>147</v>
      </c>
      <c r="F5" s="26" t="s">
        <v>148</v>
      </c>
    </row>
    <row r="6" ht="19.5" customHeight="1" spans="1:6">
      <c r="A6" s="7" t="s">
        <v>149</v>
      </c>
      <c r="B6" s="7" t="s">
        <v>34</v>
      </c>
      <c r="C6" s="7"/>
      <c r="D6" s="7"/>
      <c r="E6" s="7"/>
      <c r="F6" s="7"/>
    </row>
    <row r="7" ht="19.5" customHeight="1" spans="1:6">
      <c r="A7" s="7" t="s">
        <v>149</v>
      </c>
      <c r="B7" s="7" t="s">
        <v>34</v>
      </c>
      <c r="C7" s="7"/>
      <c r="D7" s="7"/>
      <c r="E7" s="7"/>
      <c r="F7" s="7"/>
    </row>
    <row r="9" ht="21.75" customHeight="1" spans="1:6">
      <c r="A9" s="27" t="s">
        <v>150</v>
      </c>
      <c r="B9" s="27"/>
      <c r="C9" s="27"/>
      <c r="D9" s="27"/>
      <c r="E9" s="27"/>
      <c r="F9" s="27"/>
    </row>
    <row r="10" ht="18" customHeight="1" spans="1:6">
      <c r="A10" s="5" t="s">
        <v>151</v>
      </c>
      <c r="B10" s="5" t="s">
        <v>152</v>
      </c>
      <c r="C10" s="5" t="s">
        <v>153</v>
      </c>
      <c r="D10" s="5"/>
      <c r="E10" s="5"/>
      <c r="F10" s="5"/>
    </row>
    <row r="11" ht="18" customHeight="1" spans="1:6">
      <c r="A11" s="28" t="s">
        <v>144</v>
      </c>
      <c r="B11" s="11" t="s">
        <v>154</v>
      </c>
      <c r="C11" s="29" t="s">
        <v>155</v>
      </c>
      <c r="D11" s="29"/>
      <c r="E11" s="29"/>
      <c r="F11" s="29"/>
    </row>
    <row r="12" ht="18" customHeight="1" spans="1:6">
      <c r="A12" s="28" t="s">
        <v>156</v>
      </c>
      <c r="B12" s="11" t="s">
        <v>157</v>
      </c>
      <c r="C12" s="29" t="s">
        <v>158</v>
      </c>
      <c r="D12" s="29"/>
      <c r="E12" s="29"/>
      <c r="F12" s="29"/>
    </row>
    <row r="13" ht="18" customHeight="1" spans="1:6">
      <c r="A13" s="28" t="s">
        <v>159</v>
      </c>
      <c r="B13" s="11" t="s">
        <v>160</v>
      </c>
      <c r="C13" s="29" t="s">
        <v>161</v>
      </c>
      <c r="D13" s="29"/>
      <c r="E13" s="29"/>
      <c r="F13" s="29"/>
    </row>
    <row r="14" ht="18" customHeight="1" spans="1:6">
      <c r="A14" s="28" t="s">
        <v>162</v>
      </c>
      <c r="B14" s="11" t="s">
        <v>163</v>
      </c>
      <c r="C14" s="29" t="s">
        <v>164</v>
      </c>
      <c r="D14" s="29"/>
      <c r="E14" s="29"/>
      <c r="F14" s="29"/>
    </row>
    <row r="15" ht="18" customHeight="1" spans="1:6">
      <c r="A15" s="28" t="s">
        <v>165</v>
      </c>
      <c r="B15" s="11" t="s">
        <v>166</v>
      </c>
      <c r="C15" s="29" t="s">
        <v>167</v>
      </c>
      <c r="D15" s="29"/>
      <c r="E15" s="29"/>
      <c r="F15" s="29"/>
    </row>
  </sheetData>
  <mergeCells count="9">
    <mergeCell ref="A1:F1"/>
    <mergeCell ref="A2:F2"/>
    <mergeCell ref="A4:F4"/>
    <mergeCell ref="A9:F9"/>
    <mergeCell ref="C11:F11"/>
    <mergeCell ref="C12:F12"/>
    <mergeCell ref="C13:F13"/>
    <mergeCell ref="C14:F14"/>
    <mergeCell ref="C15:F15"/>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showGridLines="0" tabSelected="1" workbookViewId="0">
      <selection activeCell="A1" sqref="A1:D1"/>
    </sheetView>
  </sheetViews>
  <sheetFormatPr defaultColWidth="8.67592592592593" defaultRowHeight="14.4" outlineLevelCol="3"/>
  <cols>
    <col min="1" max="1" width="6" style="1" customWidth="1"/>
    <col min="2" max="2" width="55" style="1" customWidth="1"/>
    <col min="3" max="3" width="14" style="1" customWidth="1"/>
    <col min="4" max="4" width="40" style="1" customWidth="1"/>
  </cols>
  <sheetData>
    <row r="1" ht="30" customHeight="1" spans="1:4">
      <c r="A1" s="2" t="s">
        <v>168</v>
      </c>
      <c r="B1" s="2"/>
      <c r="C1" s="2"/>
      <c r="D1" s="2"/>
    </row>
    <row r="2" ht="18" customHeight="1" spans="1:4">
      <c r="A2" s="3" t="s">
        <v>169</v>
      </c>
      <c r="B2" s="3"/>
      <c r="C2" s="3"/>
      <c r="D2" s="3"/>
    </row>
    <row r="3" ht="21.75" customHeight="1" spans="1:4">
      <c r="A3" s="4" t="s">
        <v>170</v>
      </c>
      <c r="B3" s="4"/>
      <c r="C3" s="4"/>
      <c r="D3" s="4"/>
    </row>
    <row r="4" ht="18" customHeight="1" spans="1:4">
      <c r="A4" s="5" t="s">
        <v>171</v>
      </c>
      <c r="B4" s="5" t="s">
        <v>172</v>
      </c>
      <c r="C4" s="5" t="s">
        <v>173</v>
      </c>
      <c r="D4" s="5" t="s">
        <v>174</v>
      </c>
    </row>
    <row r="5" ht="19.5" customHeight="1" spans="1:4">
      <c r="A5" s="6" t="s">
        <v>17</v>
      </c>
      <c r="B5" s="7" t="s">
        <v>175</v>
      </c>
      <c r="C5" s="8" t="s">
        <v>176</v>
      </c>
      <c r="D5" s="9"/>
    </row>
    <row r="6" ht="19.5" customHeight="1" spans="1:4">
      <c r="A6" s="10" t="s">
        <v>177</v>
      </c>
      <c r="B6" s="11" t="s">
        <v>178</v>
      </c>
      <c r="C6" s="8" t="s">
        <v>176</v>
      </c>
      <c r="D6" s="12"/>
    </row>
    <row r="7" ht="19.5" customHeight="1" spans="1:4">
      <c r="A7" s="6" t="s">
        <v>179</v>
      </c>
      <c r="B7" s="7" t="s">
        <v>180</v>
      </c>
      <c r="C7" s="8" t="s">
        <v>176</v>
      </c>
      <c r="D7" s="9"/>
    </row>
    <row r="8" ht="19.5" customHeight="1" spans="1:4">
      <c r="A8" s="10" t="s">
        <v>181</v>
      </c>
      <c r="B8" s="11" t="s">
        <v>182</v>
      </c>
      <c r="C8" s="8" t="s">
        <v>176</v>
      </c>
      <c r="D8" s="12"/>
    </row>
    <row r="9" ht="19.5" customHeight="1" spans="1:4">
      <c r="A9" s="6" t="s">
        <v>183</v>
      </c>
      <c r="B9" s="7" t="s">
        <v>184</v>
      </c>
      <c r="C9" s="8" t="s">
        <v>176</v>
      </c>
      <c r="D9" s="9"/>
    </row>
    <row r="11" ht="21.75" customHeight="1" spans="1:4">
      <c r="A11" s="4" t="s">
        <v>185</v>
      </c>
      <c r="B11" s="4"/>
      <c r="C11" s="4"/>
      <c r="D11" s="4"/>
    </row>
    <row r="12" ht="18" customHeight="1" spans="1:4">
      <c r="A12" s="5" t="s">
        <v>171</v>
      </c>
      <c r="B12" s="5" t="s">
        <v>172</v>
      </c>
      <c r="C12" s="5" t="s">
        <v>173</v>
      </c>
      <c r="D12" s="5" t="s">
        <v>186</v>
      </c>
    </row>
    <row r="13" ht="27.75" customHeight="1" spans="1:4">
      <c r="A13" s="6" t="s">
        <v>17</v>
      </c>
      <c r="B13" s="7" t="s">
        <v>187</v>
      </c>
      <c r="C13" s="8" t="s">
        <v>176</v>
      </c>
      <c r="D13" s="13" t="s">
        <v>188</v>
      </c>
    </row>
    <row r="14" ht="27.75" customHeight="1" spans="1:4">
      <c r="A14" s="10" t="s">
        <v>177</v>
      </c>
      <c r="B14" s="11" t="s">
        <v>189</v>
      </c>
      <c r="C14" s="8" t="s">
        <v>176</v>
      </c>
      <c r="D14" s="13" t="s">
        <v>190</v>
      </c>
    </row>
    <row r="15" ht="27.75" customHeight="1" spans="1:4">
      <c r="A15" s="6" t="s">
        <v>179</v>
      </c>
      <c r="B15" s="7" t="s">
        <v>191</v>
      </c>
      <c r="C15" s="8" t="s">
        <v>176</v>
      </c>
      <c r="D15" s="14" t="s">
        <v>192</v>
      </c>
    </row>
    <row r="16" ht="27.75" customHeight="1" spans="1:4">
      <c r="A16" s="10" t="s">
        <v>181</v>
      </c>
      <c r="B16" s="11" t="s">
        <v>193</v>
      </c>
      <c r="C16" s="8" t="s">
        <v>176</v>
      </c>
      <c r="D16" s="15" t="s">
        <v>194</v>
      </c>
    </row>
    <row r="17" ht="27.75" customHeight="1" spans="1:4">
      <c r="A17" s="6" t="s">
        <v>183</v>
      </c>
      <c r="B17" s="7" t="s">
        <v>195</v>
      </c>
      <c r="C17" s="8" t="s">
        <v>176</v>
      </c>
      <c r="D17" s="13" t="s">
        <v>196</v>
      </c>
    </row>
    <row r="19" ht="19.5" customHeight="1" spans="1:4">
      <c r="A19" s="16" t="s">
        <v>197</v>
      </c>
      <c r="B19" s="16"/>
      <c r="C19" s="16"/>
      <c r="D19" s="16"/>
    </row>
    <row r="20" ht="19.5" customHeight="1" spans="1:4">
      <c r="A20" s="16"/>
      <c r="B20" s="16"/>
      <c r="C20" s="16"/>
      <c r="D20" s="16"/>
    </row>
    <row r="21" ht="19.5" customHeight="1" spans="1:4">
      <c r="A21" s="16"/>
      <c r="B21" s="16"/>
      <c r="C21" s="16"/>
      <c r="D21" s="16"/>
    </row>
    <row r="23" ht="21.75" customHeight="1" spans="1:4">
      <c r="A23" s="4" t="s">
        <v>198</v>
      </c>
      <c r="B23" s="4"/>
      <c r="C23" s="4"/>
      <c r="D23" s="4"/>
    </row>
    <row r="24" ht="18" customHeight="1" spans="1:4">
      <c r="A24" s="17" t="s">
        <v>199</v>
      </c>
      <c r="B24" s="17"/>
      <c r="C24" s="17"/>
      <c r="D24" s="17"/>
    </row>
    <row r="25" ht="27.75" customHeight="1" spans="1:4">
      <c r="A25" s="18" t="s">
        <v>50</v>
      </c>
      <c r="B25" s="18" t="s">
        <v>200</v>
      </c>
      <c r="C25" s="18" t="s">
        <v>201</v>
      </c>
      <c r="D25" s="18" t="s">
        <v>202</v>
      </c>
    </row>
    <row r="26" ht="18" customHeight="1" spans="1:4">
      <c r="A26" s="19" t="s">
        <v>58</v>
      </c>
      <c r="B26" s="20"/>
      <c r="C26" s="20"/>
      <c r="D26" s="20"/>
    </row>
    <row r="27" ht="18" customHeight="1" spans="1:4">
      <c r="A27" s="21" t="s">
        <v>65</v>
      </c>
      <c r="B27" s="22"/>
      <c r="C27" s="22"/>
      <c r="D27" s="22"/>
    </row>
    <row r="28" ht="18" customHeight="1" spans="1:4">
      <c r="A28" s="19" t="s">
        <v>71</v>
      </c>
      <c r="B28" s="20"/>
      <c r="C28" s="20"/>
      <c r="D28" s="20"/>
    </row>
    <row r="29" ht="18" customHeight="1" spans="1:4">
      <c r="A29" s="21" t="s">
        <v>78</v>
      </c>
      <c r="B29" s="22"/>
      <c r="C29" s="22"/>
      <c r="D29" s="22"/>
    </row>
    <row r="30" ht="18" customHeight="1" spans="1:4">
      <c r="A30" s="19" t="s">
        <v>84</v>
      </c>
      <c r="B30" s="20"/>
      <c r="C30" s="20"/>
      <c r="D30" s="20"/>
    </row>
    <row r="31" ht="18" customHeight="1" spans="1:4">
      <c r="A31" s="21" t="s">
        <v>91</v>
      </c>
      <c r="B31" s="22"/>
      <c r="C31" s="22"/>
      <c r="D31" s="22"/>
    </row>
    <row r="32" ht="18" customHeight="1" spans="1:4">
      <c r="A32" s="19" t="s">
        <v>97</v>
      </c>
      <c r="B32" s="20"/>
      <c r="C32" s="20"/>
      <c r="D32" s="20"/>
    </row>
    <row r="33" ht="18" customHeight="1" spans="1:4">
      <c r="A33" s="21" t="s">
        <v>103</v>
      </c>
      <c r="B33" s="22"/>
      <c r="C33" s="22"/>
      <c r="D33" s="22"/>
    </row>
    <row r="34" ht="18" customHeight="1" spans="1:4">
      <c r="A34" s="19" t="s">
        <v>109</v>
      </c>
      <c r="B34" s="20"/>
      <c r="C34" s="20"/>
      <c r="D34" s="20"/>
    </row>
    <row r="35" ht="18" customHeight="1" spans="1:4">
      <c r="A35" s="21" t="s">
        <v>116</v>
      </c>
      <c r="B35" s="22"/>
      <c r="C35" s="22"/>
      <c r="D35" s="22"/>
    </row>
  </sheetData>
  <mergeCells count="7">
    <mergeCell ref="A1:D1"/>
    <mergeCell ref="A2:D2"/>
    <mergeCell ref="A3:D3"/>
    <mergeCell ref="A11:D11"/>
    <mergeCell ref="A23:D23"/>
    <mergeCell ref="A24:D24"/>
    <mergeCell ref="A19:D21"/>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1. Metadata &amp; Summary</vt:lpstr>
      <vt:lpstr>2. Detailed Audit Log (2)</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Bửu Thịnh</cp:lastModifiedBy>
  <cp:revision>0</cp:revision>
  <dcterms:created xsi:type="dcterms:W3CDTF">2026-06-07T15:25:00Z</dcterms:created>
  <dcterms:modified xsi:type="dcterms:W3CDTF">2026-06-08T00:49:32Z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9F140E349EFE475EB8198FC1722DAD9A_13</vt:lpwstr>
  </property>
  <property fmtid="{D5CDD505-2E9C-101B-9397-08002B2CF9AE}" pid="3" name="KSOProductBuildVer">
    <vt:lpwstr>2057-12.2.0.23202</vt:lpwstr>
  </property>
</Properties>
</file>